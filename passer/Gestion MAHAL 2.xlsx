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60" windowWidth="28800" windowHeight="16120" tabRatio="600" firstSheet="0" activeTab="2" autoFilterDateGrouping="1"/>
  </bookViews>
  <sheets>
    <sheet name="Gestion globale" sheetId="1" state="visible" r:id="rId1"/>
    <sheet name="Résumé automatique" sheetId="2" state="visible" r:id="rId2"/>
    <sheet name="Suivi par lot" sheetId="3" state="visible" r:id="rId3"/>
    <sheet name="Gestion des lots" sheetId="4" state="visible" r:id="rId4"/>
    <sheet name="Suivi des avanc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Personne</t>
        </is>
      </c>
      <c r="C1" s="2" t="inlineStr">
        <is>
          <t>Type (Achat/Vente/Dépense)</t>
        </is>
      </c>
      <c r="D1" s="2" t="inlineStr">
        <is>
          <t>Description</t>
        </is>
      </c>
      <c r="E1" s="2" t="inlineStr">
        <is>
          <t>Lot</t>
        </is>
      </c>
      <c r="F1" s="2" t="inlineStr">
        <is>
          <t>Montant (MAD)</t>
        </is>
      </c>
      <c r="G1" s="2" t="inlineStr">
        <is>
          <t>Mode de paiement</t>
        </is>
      </c>
      <c r="H1" s="2" t="inlineStr">
        <is>
          <t>Remarque</t>
        </is>
      </c>
      <c r="I1" s="2" t="inlineStr">
        <is>
          <t>Statut du lot</t>
        </is>
      </c>
      <c r="J1" s="2" t="inlineStr">
        <is>
          <t>Quantité (pièces)</t>
        </is>
      </c>
    </row>
    <row r="2">
      <c r="A2" t="inlineStr"/>
      <c r="B2" t="inlineStr">
        <is>
          <t>ADAM</t>
        </is>
      </c>
      <c r="C2" t="inlineStr">
        <is>
          <t>ACHAT</t>
        </is>
      </c>
      <c r="D2" t="inlineStr"/>
      <c r="E2" t="inlineStr">
        <is>
          <t>LOT 1</t>
        </is>
      </c>
      <c r="F2" t="n">
        <v>18500</v>
      </c>
      <c r="G2" t="inlineStr"/>
      <c r="H2" t="inlineStr"/>
      <c r="I2" t="inlineStr"/>
      <c r="J2" t="n">
        <v>1</v>
      </c>
    </row>
    <row r="3">
      <c r="A3" t="inlineStr"/>
      <c r="B3" t="inlineStr">
        <is>
          <t>ABDELGHAFOUR</t>
        </is>
      </c>
      <c r="C3" t="inlineStr">
        <is>
          <t>ACHAT</t>
        </is>
      </c>
      <c r="D3" t="inlineStr"/>
      <c r="E3" t="inlineStr">
        <is>
          <t>LOT 1</t>
        </is>
      </c>
      <c r="F3" t="n">
        <v>20000</v>
      </c>
      <c r="G3" t="inlineStr"/>
      <c r="H3" t="inlineStr"/>
      <c r="I3" t="inlineStr"/>
      <c r="J3" t="n">
        <v>1</v>
      </c>
    </row>
    <row r="4">
      <c r="A4" t="inlineStr"/>
      <c r="B4" t="inlineStr">
        <is>
          <t>ADAM</t>
        </is>
      </c>
      <c r="C4" t="inlineStr">
        <is>
          <t>ACHAT</t>
        </is>
      </c>
      <c r="D4" t="inlineStr"/>
      <c r="E4" t="inlineStr">
        <is>
          <t>LOT 2</t>
        </is>
      </c>
      <c r="F4" t="n">
        <v>2500</v>
      </c>
      <c r="G4" t="inlineStr"/>
      <c r="H4" t="inlineStr"/>
      <c r="I4" t="inlineStr"/>
      <c r="J4" t="n">
        <v>1</v>
      </c>
    </row>
    <row r="5">
      <c r="A5" t="inlineStr"/>
      <c r="B5" t="inlineStr">
        <is>
          <t>ABDELGHAFOUR</t>
        </is>
      </c>
      <c r="C5" t="inlineStr">
        <is>
          <t>ACHAT</t>
        </is>
      </c>
      <c r="D5" t="inlineStr"/>
      <c r="E5" t="inlineStr">
        <is>
          <t>LOT 2</t>
        </is>
      </c>
      <c r="F5" t="n">
        <v>2500</v>
      </c>
      <c r="G5" t="inlineStr"/>
      <c r="H5" t="inlineStr"/>
      <c r="I5" t="inlineStr"/>
      <c r="J5" t="n">
        <v>1</v>
      </c>
    </row>
    <row r="6">
      <c r="A6" t="inlineStr"/>
      <c r="B6" t="inlineStr">
        <is>
          <t>ADAM</t>
        </is>
      </c>
      <c r="C6" t="inlineStr">
        <is>
          <t>VENTE</t>
        </is>
      </c>
      <c r="D6" t="inlineStr">
        <is>
          <t>FAS</t>
        </is>
      </c>
      <c r="E6" t="inlineStr">
        <is>
          <t>LOT 1</t>
        </is>
      </c>
      <c r="F6" t="n">
        <v>7800</v>
      </c>
      <c r="G6" t="inlineStr"/>
      <c r="H6" t="inlineStr"/>
      <c r="I6" t="inlineStr"/>
      <c r="J6" t="n">
        <v>1</v>
      </c>
    </row>
    <row r="7">
      <c r="A7" t="inlineStr"/>
      <c r="B7" t="inlineStr">
        <is>
          <t>ADAM</t>
        </is>
      </c>
      <c r="C7" t="inlineStr">
        <is>
          <t>VENTE</t>
        </is>
      </c>
      <c r="D7" t="inlineStr">
        <is>
          <t>NSSIB MBAR</t>
        </is>
      </c>
      <c r="E7" t="inlineStr">
        <is>
          <t>LOT 2</t>
        </is>
      </c>
      <c r="F7" t="n">
        <v>1800</v>
      </c>
      <c r="G7" t="inlineStr"/>
      <c r="H7" t="inlineStr"/>
      <c r="I7" t="inlineStr"/>
      <c r="J7" t="n">
        <v>1</v>
      </c>
    </row>
    <row r="8">
      <c r="A8" t="inlineStr"/>
      <c r="B8" t="inlineStr">
        <is>
          <t>ADAM</t>
        </is>
      </c>
      <c r="C8" t="inlineStr">
        <is>
          <t>ACHAT</t>
        </is>
      </c>
      <c r="D8" t="inlineStr"/>
      <c r="E8" t="inlineStr">
        <is>
          <t>LOT 3</t>
        </is>
      </c>
      <c r="F8" t="n">
        <v>4000</v>
      </c>
      <c r="G8" t="inlineStr"/>
      <c r="H8" t="inlineStr"/>
      <c r="I8" t="inlineStr"/>
      <c r="J8" t="n">
        <v>1</v>
      </c>
    </row>
    <row r="9">
      <c r="A9" t="inlineStr"/>
      <c r="B9" t="inlineStr">
        <is>
          <t>ABDELGHAFOUR</t>
        </is>
      </c>
      <c r="C9" t="inlineStr">
        <is>
          <t>ACHAT</t>
        </is>
      </c>
      <c r="D9" t="inlineStr"/>
      <c r="E9" t="inlineStr">
        <is>
          <t>LOT 3</t>
        </is>
      </c>
      <c r="F9" t="n">
        <v>5000</v>
      </c>
      <c r="G9" t="inlineStr"/>
      <c r="H9" t="inlineStr"/>
      <c r="I9" t="inlineStr"/>
      <c r="J9" t="n">
        <v>1</v>
      </c>
    </row>
    <row r="10">
      <c r="A10" t="inlineStr"/>
      <c r="B10" t="inlineStr">
        <is>
          <t>ABDELGHAFOUR</t>
        </is>
      </c>
      <c r="C10" t="inlineStr">
        <is>
          <t>ACHAT</t>
        </is>
      </c>
      <c r="D10" t="inlineStr"/>
      <c r="E10" t="inlineStr">
        <is>
          <t>LOT JAG</t>
        </is>
      </c>
      <c r="F10" t="n">
        <v>4200</v>
      </c>
      <c r="G10" t="inlineStr"/>
      <c r="H10" t="inlineStr"/>
      <c r="I10" t="inlineStr"/>
      <c r="J10" t="n">
        <v>1</v>
      </c>
    </row>
    <row r="11">
      <c r="A11" t="inlineStr"/>
      <c r="B11" t="inlineStr">
        <is>
          <t>ADAM</t>
        </is>
      </c>
      <c r="C11" t="inlineStr">
        <is>
          <t>ACHAT</t>
        </is>
      </c>
      <c r="D11" t="inlineStr"/>
      <c r="E11" t="inlineStr">
        <is>
          <t>LOT JAG</t>
        </is>
      </c>
      <c r="F11" t="n">
        <v>1600</v>
      </c>
      <c r="G11" t="inlineStr"/>
      <c r="H11" t="inlineStr"/>
      <c r="I11" t="inlineStr"/>
      <c r="J11" t="n">
        <v>1</v>
      </c>
    </row>
    <row r="12">
      <c r="A12" t="inlineStr"/>
      <c r="B12" t="inlineStr">
        <is>
          <t>ABDELGHAFOUR</t>
        </is>
      </c>
      <c r="C12" t="inlineStr">
        <is>
          <t>VENTE</t>
        </is>
      </c>
      <c r="D12" t="inlineStr">
        <is>
          <t>CATA</t>
        </is>
      </c>
      <c r="E12" t="inlineStr">
        <is>
          <t>LOT JAG</t>
        </is>
      </c>
      <c r="F12" t="n">
        <v>3200</v>
      </c>
      <c r="G12" t="inlineStr"/>
      <c r="H12" t="inlineStr"/>
      <c r="I12" t="inlineStr"/>
      <c r="J12" t="n">
        <v>1</v>
      </c>
    </row>
    <row r="13">
      <c r="A13" t="inlineStr"/>
      <c r="B13" t="inlineStr">
        <is>
          <t>ABDELGHAFOUR</t>
        </is>
      </c>
      <c r="C13" t="inlineStr">
        <is>
          <t>ACHAT</t>
        </is>
      </c>
      <c r="D13" t="inlineStr"/>
      <c r="E13" t="inlineStr">
        <is>
          <t>LOT ALL</t>
        </is>
      </c>
      <c r="F13" t="n">
        <v>5000</v>
      </c>
      <c r="G13" t="inlineStr"/>
      <c r="H13" t="inlineStr"/>
      <c r="I13" t="inlineStr"/>
      <c r="J13" t="n">
        <v>1</v>
      </c>
    </row>
    <row r="14">
      <c r="A14" t="inlineStr"/>
      <c r="B14" t="inlineStr">
        <is>
          <t>ADAM</t>
        </is>
      </c>
      <c r="C14" t="inlineStr">
        <is>
          <t>ACHAT</t>
        </is>
      </c>
      <c r="D14" t="inlineStr"/>
      <c r="E14" t="inlineStr">
        <is>
          <t>LOT ALL</t>
        </is>
      </c>
      <c r="F14" t="n">
        <v>7000</v>
      </c>
      <c r="G14" t="inlineStr"/>
      <c r="H14" t="inlineStr"/>
      <c r="I14" t="inlineStr"/>
      <c r="J14" t="n">
        <v>1</v>
      </c>
    </row>
    <row r="15">
      <c r="A15" t="inlineStr"/>
      <c r="B15" t="inlineStr">
        <is>
          <t>ADAM</t>
        </is>
      </c>
      <c r="C15" t="inlineStr">
        <is>
          <t>VENTE</t>
        </is>
      </c>
      <c r="D15" t="inlineStr">
        <is>
          <t>TOURSADE</t>
        </is>
      </c>
      <c r="E15" t="inlineStr">
        <is>
          <t>LOT ALL</t>
        </is>
      </c>
      <c r="F15" t="n">
        <v>2300</v>
      </c>
      <c r="G15" t="inlineStr"/>
      <c r="H15" t="inlineStr"/>
      <c r="I15" t="inlineStr"/>
      <c r="J15" t="n">
        <v>1</v>
      </c>
    </row>
    <row r="16">
      <c r="A16" t="inlineStr"/>
      <c r="B16" t="inlineStr">
        <is>
          <t>ADAM</t>
        </is>
      </c>
      <c r="C16" t="inlineStr">
        <is>
          <t>VENTE</t>
        </is>
      </c>
      <c r="D16" t="inlineStr">
        <is>
          <t>DENUD</t>
        </is>
      </c>
      <c r="E16" t="inlineStr">
        <is>
          <t>LOT ALL</t>
        </is>
      </c>
      <c r="F16" t="n">
        <v>3300</v>
      </c>
      <c r="G16" t="inlineStr"/>
      <c r="H16" t="inlineStr"/>
      <c r="I16" t="inlineStr"/>
      <c r="J16" t="n">
        <v>1</v>
      </c>
    </row>
    <row r="17">
      <c r="A17" t="inlineStr"/>
      <c r="B17" t="inlineStr">
        <is>
          <t>ABDELGHAFOUR</t>
        </is>
      </c>
      <c r="C17" t="inlineStr">
        <is>
          <t>ACHAT</t>
        </is>
      </c>
      <c r="D17" t="inlineStr">
        <is>
          <t>AYOUB PAYE</t>
        </is>
      </c>
      <c r="E17" t="inlineStr">
        <is>
          <t>LOT FRIGO</t>
        </is>
      </c>
      <c r="F17" t="n">
        <v>25000</v>
      </c>
      <c r="G17" t="inlineStr"/>
      <c r="H17" t="inlineStr"/>
      <c r="I17" t="inlineStr"/>
      <c r="J17" t="n">
        <v>1</v>
      </c>
    </row>
    <row r="18">
      <c r="A18" t="inlineStr"/>
      <c r="B18" t="inlineStr">
        <is>
          <t>ABDELGHAFOUR</t>
        </is>
      </c>
      <c r="C18" t="inlineStr">
        <is>
          <t>VENTE</t>
        </is>
      </c>
      <c r="D18" t="inlineStr">
        <is>
          <t>BARAKA</t>
        </is>
      </c>
      <c r="E18" t="inlineStr">
        <is>
          <t>LOT FRIGO</t>
        </is>
      </c>
      <c r="F18" t="n">
        <v>7000</v>
      </c>
      <c r="G18" t="inlineStr"/>
      <c r="H18" t="inlineStr"/>
      <c r="I18" t="inlineStr"/>
      <c r="J18" t="n">
        <v>1</v>
      </c>
    </row>
    <row r="19">
      <c r="A19" t="inlineStr"/>
      <c r="B19" t="inlineStr">
        <is>
          <t>ADAM</t>
        </is>
      </c>
      <c r="C19" t="inlineStr">
        <is>
          <t>VENTE</t>
        </is>
      </c>
      <c r="D19" t="inlineStr">
        <is>
          <t>CRIQ</t>
        </is>
      </c>
      <c r="E19" t="inlineStr">
        <is>
          <t>LOT FRIGO</t>
        </is>
      </c>
      <c r="F19" t="n">
        <v>1700</v>
      </c>
      <c r="G19" t="inlineStr"/>
      <c r="H19" t="inlineStr"/>
      <c r="I19" t="inlineStr"/>
      <c r="J19" t="n">
        <v>1</v>
      </c>
    </row>
    <row r="20">
      <c r="A20" t="inlineStr"/>
      <c r="B20" t="inlineStr">
        <is>
          <t>ADAM</t>
        </is>
      </c>
      <c r="C20" t="inlineStr">
        <is>
          <t>ACHAT</t>
        </is>
      </c>
      <c r="D20" t="inlineStr">
        <is>
          <t>DEPENSE</t>
        </is>
      </c>
      <c r="E20" t="inlineStr">
        <is>
          <t>LOT FRIGO</t>
        </is>
      </c>
      <c r="F20" t="n">
        <v>1800</v>
      </c>
      <c r="G20" t="inlineStr"/>
      <c r="H20" t="inlineStr"/>
      <c r="I20" t="inlineStr"/>
      <c r="J20" t="n">
        <v>1</v>
      </c>
    </row>
    <row r="21">
      <c r="A21" t="inlineStr"/>
      <c r="B21" t="inlineStr">
        <is>
          <t>ABDELGHAFOUR</t>
        </is>
      </c>
      <c r="C21" t="inlineStr">
        <is>
          <t>ACHAT</t>
        </is>
      </c>
      <c r="D21" t="inlineStr">
        <is>
          <t>2 GEAR</t>
        </is>
      </c>
      <c r="E21" t="inlineStr">
        <is>
          <t>LOT GEAR</t>
        </is>
      </c>
      <c r="F21" t="n">
        <v>3100</v>
      </c>
      <c r="G21" t="inlineStr"/>
      <c r="H21" t="inlineStr"/>
      <c r="I21" t="inlineStr"/>
      <c r="J21" t="n">
        <v>1</v>
      </c>
    </row>
    <row r="22">
      <c r="A22" t="inlineStr"/>
      <c r="B22" t="inlineStr">
        <is>
          <t>ABDELGHAFOUR</t>
        </is>
      </c>
      <c r="C22" t="inlineStr">
        <is>
          <t>ACHAT</t>
        </is>
      </c>
      <c r="D22" t="inlineStr"/>
      <c r="E22" t="inlineStr">
        <is>
          <t>LOT CLARK</t>
        </is>
      </c>
      <c r="F22" t="n">
        <v>5000</v>
      </c>
      <c r="G22" t="inlineStr"/>
      <c r="H22" t="inlineStr"/>
      <c r="I22" t="inlineStr"/>
      <c r="J22" t="n">
        <v>1</v>
      </c>
    </row>
    <row r="23">
      <c r="A23" t="inlineStr"/>
      <c r="B23" t="inlineStr">
        <is>
          <t>ADAM</t>
        </is>
      </c>
      <c r="C23" t="inlineStr">
        <is>
          <t>ACHAT</t>
        </is>
      </c>
      <c r="D23" t="inlineStr"/>
      <c r="E23" t="inlineStr">
        <is>
          <t>LOT CLARK</t>
        </is>
      </c>
      <c r="F23" t="n">
        <v>12000</v>
      </c>
      <c r="G23" t="inlineStr"/>
      <c r="H23" t="inlineStr"/>
      <c r="I23" t="inlineStr"/>
      <c r="J23" t="n">
        <v>1</v>
      </c>
    </row>
    <row r="24">
      <c r="A24" t="inlineStr"/>
      <c r="B24" t="inlineStr">
        <is>
          <t>ABDELGHAFOUR</t>
        </is>
      </c>
      <c r="C24" t="inlineStr">
        <is>
          <t>ACHAT</t>
        </is>
      </c>
      <c r="D24" t="inlineStr">
        <is>
          <t>avance</t>
        </is>
      </c>
      <c r="E24" t="inlineStr">
        <is>
          <t>lot 928</t>
        </is>
      </c>
      <c r="F24" t="n">
        <v>1500</v>
      </c>
      <c r="G24" t="inlineStr"/>
      <c r="H24" t="inlineStr"/>
      <c r="I24" t="inlineStr"/>
      <c r="J24" t="n">
        <v>1</v>
      </c>
    </row>
    <row r="25">
      <c r="A25" t="inlineStr"/>
      <c r="B25" t="inlineStr">
        <is>
          <t>ABDELGHAFOUR</t>
        </is>
      </c>
      <c r="C25" t="inlineStr">
        <is>
          <t>ACHAT</t>
        </is>
      </c>
      <c r="D25" t="inlineStr">
        <is>
          <t>GRUE</t>
        </is>
      </c>
      <c r="E25" t="inlineStr">
        <is>
          <t>lot 928</t>
        </is>
      </c>
      <c r="F25" t="n">
        <v>2000</v>
      </c>
      <c r="G25" t="inlineStr"/>
      <c r="H25" t="inlineStr"/>
      <c r="I25" t="inlineStr"/>
      <c r="J25" t="n">
        <v>1</v>
      </c>
    </row>
    <row r="26">
      <c r="A26" t="inlineStr"/>
      <c r="B26" t="inlineStr">
        <is>
          <t>ABDELGHAFOUR</t>
        </is>
      </c>
      <c r="C26" t="inlineStr">
        <is>
          <t>ACHAT</t>
        </is>
      </c>
      <c r="D26" t="inlineStr">
        <is>
          <t>REMORQUE</t>
        </is>
      </c>
      <c r="E26" t="inlineStr">
        <is>
          <t>lot 928</t>
        </is>
      </c>
      <c r="F26" t="n">
        <v>8000</v>
      </c>
      <c r="G26" t="inlineStr"/>
      <c r="H26" t="inlineStr"/>
      <c r="I26" t="inlineStr"/>
      <c r="J26" t="n">
        <v>1</v>
      </c>
    </row>
    <row r="27">
      <c r="A27" t="inlineStr"/>
      <c r="B27" t="inlineStr">
        <is>
          <t>dad</t>
        </is>
      </c>
      <c r="C27" t="inlineStr">
        <is>
          <t>ACHAT</t>
        </is>
      </c>
      <c r="D27" t="inlineStr">
        <is>
          <t>3m</t>
        </is>
      </c>
      <c r="E27" t="inlineStr">
        <is>
          <t>lot 928</t>
        </is>
      </c>
      <c r="F27" t="n">
        <v>30000</v>
      </c>
      <c r="G27" t="inlineStr"/>
      <c r="H27" t="inlineStr"/>
      <c r="I27" t="inlineStr"/>
      <c r="J27" t="n">
        <v>1</v>
      </c>
    </row>
    <row r="28">
      <c r="A28" t="inlineStr"/>
      <c r="B28" t="inlineStr">
        <is>
          <t>ABDELGHAFOUR</t>
        </is>
      </c>
      <c r="C28" t="inlineStr">
        <is>
          <t>ACHAT</t>
        </is>
      </c>
      <c r="D28" t="inlineStr">
        <is>
          <t>WAFACASH</t>
        </is>
      </c>
      <c r="E28" t="inlineStr">
        <is>
          <t>lot 928</t>
        </is>
      </c>
      <c r="F28" t="n">
        <v>5000</v>
      </c>
      <c r="G28" t="inlineStr"/>
      <c r="H28" t="inlineStr"/>
      <c r="I28" t="inlineStr"/>
      <c r="J28" t="n">
        <v>1</v>
      </c>
    </row>
    <row r="29">
      <c r="A29" t="inlineStr"/>
      <c r="B29" t="inlineStr">
        <is>
          <t>ABDELGHAFOUR</t>
        </is>
      </c>
      <c r="C29" t="inlineStr">
        <is>
          <t>ACHAT</t>
        </is>
      </c>
      <c r="D29" t="inlineStr">
        <is>
          <t>3M</t>
        </is>
      </c>
      <c r="E29" t="inlineStr">
        <is>
          <t>lot ass</t>
        </is>
      </c>
      <c r="F29" t="n">
        <v>30000</v>
      </c>
      <c r="G29" t="inlineStr"/>
      <c r="H29" t="inlineStr"/>
      <c r="I29" t="inlineStr"/>
      <c r="J29" t="n">
        <v>1</v>
      </c>
    </row>
    <row r="30">
      <c r="A30" t="inlineStr"/>
      <c r="B30" t="inlineStr">
        <is>
          <t>AHMED</t>
        </is>
      </c>
      <c r="C30" t="inlineStr">
        <is>
          <t>ACHAT</t>
        </is>
      </c>
      <c r="D30" t="inlineStr">
        <is>
          <t>4 ET 5000 AV</t>
        </is>
      </c>
      <c r="E30" t="inlineStr">
        <is>
          <t>lot ass</t>
        </is>
      </c>
      <c r="F30" t="n">
        <v>45000</v>
      </c>
      <c r="G30" t="inlineStr"/>
      <c r="H30" t="inlineStr"/>
      <c r="I30" t="inlineStr"/>
      <c r="J30" t="n">
        <v>1</v>
      </c>
    </row>
    <row r="31">
      <c r="A31" t="inlineStr"/>
      <c r="B31" t="inlineStr">
        <is>
          <t>ADAM</t>
        </is>
      </c>
      <c r="C31" t="inlineStr">
        <is>
          <t>ACHAT</t>
        </is>
      </c>
      <c r="D31" t="inlineStr">
        <is>
          <t>TRASN</t>
        </is>
      </c>
      <c r="E31" t="inlineStr">
        <is>
          <t>lot ass</t>
        </is>
      </c>
      <c r="F31" t="n">
        <v>1000</v>
      </c>
      <c r="G31" t="inlineStr"/>
      <c r="H31" t="inlineStr"/>
      <c r="I31" t="inlineStr"/>
      <c r="J31" t="n">
        <v>1</v>
      </c>
    </row>
    <row r="32">
      <c r="A32" t="inlineStr"/>
      <c r="B32" t="inlineStr">
        <is>
          <t>ADAM</t>
        </is>
      </c>
      <c r="C32" t="inlineStr">
        <is>
          <t>VENTE</t>
        </is>
      </c>
      <c r="D32" t="inlineStr">
        <is>
          <t>TRAFIC</t>
        </is>
      </c>
      <c r="E32" t="inlineStr">
        <is>
          <t>lot ass</t>
        </is>
      </c>
      <c r="F32" t="n">
        <v>1000</v>
      </c>
      <c r="G32" t="inlineStr"/>
      <c r="H32" t="inlineStr"/>
      <c r="I32" t="inlineStr"/>
      <c r="J32" t="n">
        <v>1</v>
      </c>
    </row>
    <row r="33">
      <c r="A33" t="inlineStr"/>
      <c r="B33" t="inlineStr">
        <is>
          <t>AHMED</t>
        </is>
      </c>
      <c r="C33" t="inlineStr">
        <is>
          <t>VENTE</t>
        </is>
      </c>
      <c r="D33" t="inlineStr">
        <is>
          <t>ASIA</t>
        </is>
      </c>
      <c r="E33" t="inlineStr">
        <is>
          <t>lot ass</t>
        </is>
      </c>
      <c r="F33" t="n">
        <v>50000</v>
      </c>
      <c r="G33" t="inlineStr"/>
      <c r="H33" t="inlineStr"/>
      <c r="I33" t="inlineStr"/>
      <c r="J33" t="n">
        <v>1</v>
      </c>
    </row>
    <row r="34">
      <c r="A34" t="inlineStr"/>
      <c r="B34" t="inlineStr">
        <is>
          <t>ABDELGHAFOUR</t>
        </is>
      </c>
      <c r="C34" t="inlineStr">
        <is>
          <t>VENTE</t>
        </is>
      </c>
      <c r="D34" t="inlineStr">
        <is>
          <t>TRAFIC</t>
        </is>
      </c>
      <c r="E34" t="inlineStr">
        <is>
          <t>lot ass</t>
        </is>
      </c>
      <c r="F34" t="n">
        <v>8000</v>
      </c>
      <c r="G34" t="inlineStr"/>
      <c r="H34" t="inlineStr"/>
      <c r="I34" t="inlineStr"/>
      <c r="J34" t="n">
        <v>1</v>
      </c>
    </row>
    <row r="35">
      <c r="A35" t="inlineStr"/>
      <c r="B35" t="inlineStr">
        <is>
          <t>ABDELGHAFOUR</t>
        </is>
      </c>
      <c r="C35" t="inlineStr">
        <is>
          <t>VENTE</t>
        </is>
      </c>
      <c r="D35" t="inlineStr">
        <is>
          <t>r4</t>
        </is>
      </c>
      <c r="E35" t="inlineStr">
        <is>
          <t>lot ass</t>
        </is>
      </c>
      <c r="F35" t="n">
        <v>7000</v>
      </c>
      <c r="G35" t="inlineStr"/>
      <c r="H35" t="inlineStr"/>
      <c r="I35" t="inlineStr"/>
      <c r="J35" t="n">
        <v>1</v>
      </c>
    </row>
    <row r="36">
      <c r="A36" t="inlineStr"/>
      <c r="B36" t="inlineStr">
        <is>
          <t>ABDELGHAFOUR</t>
        </is>
      </c>
      <c r="C36" t="inlineStr">
        <is>
          <t>VENTE</t>
        </is>
      </c>
      <c r="D36" t="inlineStr">
        <is>
          <t>KANGOO</t>
        </is>
      </c>
      <c r="E36" t="inlineStr">
        <is>
          <t>LOT ASS</t>
        </is>
      </c>
      <c r="F36" t="n">
        <v>20000</v>
      </c>
      <c r="G36" t="inlineStr"/>
      <c r="H36" t="inlineStr"/>
      <c r="I36" t="inlineStr"/>
      <c r="J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E3" sqref="E3"/>
    </sheetView>
  </sheetViews>
  <sheetFormatPr baseColWidth="10" defaultColWidth="8.83203125" defaultRowHeight="15"/>
  <sheetData>
    <row r="1">
      <c r="A1" s="1" t="inlineStr">
        <is>
          <t>Personne</t>
        </is>
      </c>
      <c r="B1" s="1" t="inlineStr">
        <is>
          <t>Total Achats</t>
        </is>
      </c>
      <c r="C1" s="1" t="inlineStr">
        <is>
          <t>Total Ventes</t>
        </is>
      </c>
      <c r="D1" s="1" t="inlineStr">
        <is>
          <t>Total Dépenses</t>
        </is>
      </c>
      <c r="E1" s="1" t="inlineStr">
        <is>
          <t>Résultat</t>
        </is>
      </c>
    </row>
    <row r="2">
      <c r="A2" t="inlineStr">
        <is>
          <t>Abdelghafour</t>
        </is>
      </c>
      <c r="B2">
        <f>SUMIFS('Gestion globale'!F:F,'Gestion globale'!B:B,"Abdelghafour",'Gestion globale'!C:C,"Achat")</f>
        <v/>
      </c>
      <c r="C2">
        <f>SUMIFS('Gestion globale'!F:F,'Gestion globale'!B:B,"Abdelghafour",'Gestion globale'!C:C,"Vente")</f>
        <v/>
      </c>
      <c r="D2">
        <f>SUMIFS('Gestion globale'!F:F,'Gestion globale'!B:B,"Abdelghafour",'Gestion globale'!C:C,"Dépense")</f>
        <v/>
      </c>
      <c r="E2">
        <f>C2-B2-D2</f>
        <v/>
      </c>
    </row>
    <row r="3">
      <c r="A3" t="inlineStr">
        <is>
          <t>Adam</t>
        </is>
      </c>
      <c r="B3">
        <f>SUMIFS('Gestion globale'!F:F,'Gestion globale'!B:B,"Adam",'Gestion globale'!C:C,"Achat")</f>
        <v/>
      </c>
      <c r="C3">
        <f>SUMIFS('Gestion globale'!F:F,'Gestion globale'!B:B,"Adam",'Gestion globale'!C:C,"Vente")</f>
        <v/>
      </c>
      <c r="D3">
        <f>SUMIFS('Gestion globale'!F:F,'Gestion globale'!B:B,"Adam",'Gestion globale'!C:C,"Dépense")</f>
        <v/>
      </c>
      <c r="E3">
        <f>C3-B3-D3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topLeftCell="A3" zoomScale="199" zoomScaleNormal="199" workbookViewId="0">
      <selection activeCell="B12" sqref="B12"/>
    </sheetView>
  </sheetViews>
  <sheetFormatPr baseColWidth="10" defaultColWidth="8.83203125" defaultRowHeight="15"/>
  <sheetData>
    <row r="1">
      <c r="A1" s="1" t="inlineStr">
        <is>
          <t>Lot</t>
        </is>
      </c>
      <c r="B1" s="1" t="inlineStr">
        <is>
          <t>Total Achats</t>
        </is>
      </c>
      <c r="C1" s="1" t="inlineStr">
        <is>
          <t>Total Ventes</t>
        </is>
      </c>
      <c r="D1" s="1" t="inlineStr">
        <is>
          <t>Total Dépenses</t>
        </is>
      </c>
      <c r="E1" s="1" t="inlineStr">
        <is>
          <t>Résultat</t>
        </is>
      </c>
    </row>
    <row r="2">
      <c r="A2" t="inlineStr">
        <is>
          <t>Lot 1 COM</t>
        </is>
      </c>
      <c r="B2">
        <f>SUMIFS('Gestion globale'!F:F,'Gestion globale'!E:E,"Lot 1",'Gestion globale'!C:C,"Achat")</f>
        <v/>
      </c>
      <c r="C2" t="n">
        <v>7800</v>
      </c>
      <c r="E2">
        <f>C2-B2-D2</f>
        <v/>
      </c>
    </row>
    <row r="3">
      <c r="A3" t="inlineStr">
        <is>
          <t>Lot 2 BAW</t>
        </is>
      </c>
      <c r="B3">
        <f>SUMIFS('Gestion globale'!F:F,'Gestion globale'!E:E,"Lot 2",'Gestion globale'!C:C,"Achat")</f>
        <v/>
      </c>
      <c r="C3">
        <f>SUMIFS('Gestion globale'!F:F,'Gestion globale'!E:E,"Lot 2",'Gestion globale'!C:C,"Vente")</f>
        <v/>
      </c>
      <c r="D3">
        <f>SUMIFS('Gestion globale'!F:F,'Gestion globale'!E:E,"Lot 2",'Gestion globale'!C:C,"Dépense")</f>
        <v/>
      </c>
      <c r="E3">
        <f>C3-B3-D3</f>
        <v/>
      </c>
    </row>
    <row r="4">
      <c r="A4" t="inlineStr">
        <is>
          <t>Lot 3 INST</t>
        </is>
      </c>
      <c r="B4">
        <f>SUMIFS('Gestion globale'!F:F,'Gestion globale'!E:E,"Lot 3",'Gestion globale'!C:C,"Achat")</f>
        <v/>
      </c>
      <c r="C4">
        <f>SUMIFS('Gestion globale'!F:F,'Gestion globale'!E:E,"Lot 3",'Gestion globale'!C:C,"Vente")</f>
        <v/>
      </c>
      <c r="D4">
        <f>SUMIFS('Gestion globale'!F:F,'Gestion globale'!E:E,"Lot 3",'Gestion globale'!C:C,"Dépense")</f>
        <v/>
      </c>
      <c r="E4">
        <f>C4-B4-D4</f>
        <v/>
      </c>
    </row>
    <row r="5">
      <c r="A5" t="inlineStr">
        <is>
          <t>Lot ALL</t>
        </is>
      </c>
      <c r="B5">
        <f>SUMIFS('Gestion globale'!F:F,'Gestion globale'!E:E,"Lot ALL",'Gestion globale'!C:C,"Achat")</f>
        <v/>
      </c>
      <c r="C5">
        <f>SUMIFS('Gestion globale'!F:F,'Gestion globale'!E:E,"Lot ALL",'Gestion globale'!C:C,"Vente")</f>
        <v/>
      </c>
      <c r="D5">
        <f>SUMIFS('Gestion globale'!F:F,'Gestion globale'!E:E,"Lot ALL",'Gestion globale'!C:C,"Dépense")</f>
        <v/>
      </c>
      <c r="E5">
        <f>C5-B5-D5</f>
        <v/>
      </c>
    </row>
    <row r="6">
      <c r="A6" t="inlineStr">
        <is>
          <t>LOT JAG</t>
        </is>
      </c>
      <c r="B6">
        <f>SUMIFS('Gestion globale'!F:F,'Gestion globale'!E:E,"Lot JAG",'Gestion globale'!C:C,"Achat")</f>
        <v/>
      </c>
      <c r="C6">
        <f>SUMIFS('Gestion globale'!F:F,'Gestion globale'!E:E,"Lot JAG",'Gestion globale'!C:C,"Vente")</f>
        <v/>
      </c>
      <c r="D6">
        <f>SUMIFS('Gestion globale'!F:F,'Gestion globale'!E:E,"Lot JAG",'Gestion globale'!C:C,"Dépense")</f>
        <v/>
      </c>
      <c r="E6">
        <f>C6-B6-D6</f>
        <v/>
      </c>
    </row>
    <row r="7">
      <c r="A7" t="inlineStr">
        <is>
          <t>Lot FRIGO</t>
        </is>
      </c>
      <c r="B7">
        <f>SUMIFS('Gestion globale'!F:F,'Gestion globale'!E:E,"Lot FRIGO",'Gestion globale'!C:C,"Achat")</f>
        <v/>
      </c>
      <c r="C7">
        <f>SUMIFS('Gestion globale'!F:F,'Gestion globale'!E:E,"Lot FRIGO",'Gestion globale'!C:C,"Vente")</f>
        <v/>
      </c>
      <c r="D7">
        <f>SUMIFS('Gestion globale'!F:F,'Gestion globale'!E:E,"Lot FRIGO",'Gestion globale'!C:C,"Dépense")</f>
        <v/>
      </c>
      <c r="E7">
        <f>C7-B7-D7</f>
        <v/>
      </c>
    </row>
    <row r="8">
      <c r="A8" t="inlineStr">
        <is>
          <t>Lot GEAR</t>
        </is>
      </c>
      <c r="B8">
        <f>SUMIFS('Gestion globale'!F:F,'Gestion globale'!E:E,"Lot GEAR",'Gestion globale'!C:C,"Achat")</f>
        <v/>
      </c>
      <c r="C8">
        <f>SUMIFS('Gestion globale'!F:F,'Gestion globale'!E:E,"Lot GEAR",'Gestion globale'!C:C,"Vente")</f>
        <v/>
      </c>
      <c r="D8">
        <f>SUMIFS('Gestion globale'!F:F,'Gestion globale'!E:E,"Lot GEAR",'Gestion globale'!C:C,"Dépense")</f>
        <v/>
      </c>
      <c r="E8">
        <f>C8-B8-D8</f>
        <v/>
      </c>
    </row>
    <row r="9">
      <c r="A9" t="inlineStr">
        <is>
          <t>Lot CLARK</t>
        </is>
      </c>
      <c r="B9">
        <f>SUMIFS('Gestion globale'!F:F,'Gestion globale'!E:E,"Lot CLARK",'Gestion globale'!C:C,"Achat")</f>
        <v/>
      </c>
      <c r="C9">
        <f>SUMIFS('Gestion globale'!F:F,'Gestion globale'!E:E,"Lot 3",'Gestion globale'!C:C,"Vente")</f>
        <v/>
      </c>
      <c r="D9">
        <f>SUMIFS('Gestion globale'!F:F,'Gestion globale'!E:E,"Lot 3",'Gestion globale'!C:C,"Dépense")</f>
        <v/>
      </c>
      <c r="E9">
        <f>C9-B9-D9</f>
        <v/>
      </c>
    </row>
    <row r="10">
      <c r="A10" t="inlineStr">
        <is>
          <t>Lot 928</t>
        </is>
      </c>
      <c r="B10">
        <f>SUMIFS('Gestion globale'!F:F,'Gestion globale'!E:E,"Lot 928",'Gestion globale'!C:C,"Achat")</f>
        <v/>
      </c>
      <c r="C10">
        <f>SUMIFS('Gestion globale'!F:F,'Gestion globale'!E:E,"Lot 3",'Gestion globale'!C:C,"Vente")</f>
        <v/>
      </c>
      <c r="D10">
        <f>SUMIFS('Gestion globale'!F:F,'Gestion globale'!E:E,"Lot 3",'Gestion globale'!C:C,"Dépense")</f>
        <v/>
      </c>
      <c r="E10">
        <f>C10-B10-D10</f>
        <v/>
      </c>
    </row>
    <row r="11">
      <c r="A11" t="inlineStr">
        <is>
          <t>Lot ASS</t>
        </is>
      </c>
      <c r="B11">
        <f>SUMIFS('Gestion globale'!F:F,'Gestion globale'!E:E,"Lot ASS",'Gestion globale'!C:C,"Achat")</f>
        <v/>
      </c>
      <c r="C11">
        <f>SUMIFS('Gestion globale'!F:F,'Gestion globale'!E:E,"Lot ASS",'Gestion globale'!C:C,"Vente")</f>
        <v/>
      </c>
      <c r="D11">
        <f>SUMIFS('Gestion globale'!F:F,'Gestion globale'!E:E,"Lot ASS",'Gestion globale'!C:C,"Dépense")</f>
        <v/>
      </c>
      <c r="E11">
        <f>C11-B11-D11</f>
        <v/>
      </c>
    </row>
    <row r="12">
      <c r="A12" t="inlineStr">
        <is>
          <t>Lot 11</t>
        </is>
      </c>
      <c r="B12">
        <f>SUMIFS('Gestion globale'!F:F,'Gestion globale'!E:E,"Lot 11",'Gestion globale'!C:C,"Achat")</f>
        <v/>
      </c>
      <c r="C12">
        <f>SUMIFS('Gestion globale'!F:F,'Gestion globale'!E:E,"Lot 11",'Gestion globale'!C:C,"Vente")</f>
        <v/>
      </c>
      <c r="D12">
        <f>SUMIFS('Gestion globale'!F:F,'Gestion globale'!E:E,"Lot 11",'Gestion globale'!C:C,"Dépense")</f>
        <v/>
      </c>
      <c r="E12">
        <f>C12-B12-D12</f>
        <v/>
      </c>
    </row>
    <row r="13">
      <c r="A13" t="inlineStr">
        <is>
          <t>Lot 12</t>
        </is>
      </c>
      <c r="B13">
        <f>SUMIFS('Gestion globale'!F:F,'Gestion globale'!E:E,"Lot 12",'Gestion globale'!C:C,"Achat")</f>
        <v/>
      </c>
      <c r="C13">
        <f>SUMIFS('Gestion globale'!F:F,'Gestion globale'!E:E,"Lot 12",'Gestion globale'!C:C,"Vente")</f>
        <v/>
      </c>
      <c r="D13">
        <f>SUMIFS('Gestion globale'!F:F,'Gestion globale'!E:E,"Lot 12",'Gestion globale'!C:C,"Dépense")</f>
        <v/>
      </c>
      <c r="E13">
        <f>C13-B13-D13</f>
        <v/>
      </c>
    </row>
    <row r="14">
      <c r="A14" t="inlineStr">
        <is>
          <t>Lot 13</t>
        </is>
      </c>
      <c r="B14">
        <f>SUMIFS('Gestion globale'!F:F,'Gestion globale'!E:E,"Lot 13",'Gestion globale'!C:C,"Achat")</f>
        <v/>
      </c>
      <c r="C14">
        <f>SUMIFS('Gestion globale'!F:F,'Gestion globale'!E:E,"Lot 13",'Gestion globale'!C:C,"Vente")</f>
        <v/>
      </c>
      <c r="D14">
        <f>SUMIFS('Gestion globale'!F:F,'Gestion globale'!E:E,"Lot 13",'Gestion globale'!C:C,"Dépense")</f>
        <v/>
      </c>
      <c r="E14">
        <f>C14-B14-D14</f>
        <v/>
      </c>
    </row>
    <row r="15">
      <c r="A15" t="inlineStr">
        <is>
          <t>Lot 14</t>
        </is>
      </c>
      <c r="B15">
        <f>SUMIFS('Gestion globale'!F:F,'Gestion globale'!E:E,"Lot 14",'Gestion globale'!C:C,"Achat")</f>
        <v/>
      </c>
      <c r="C15">
        <f>SUMIFS('Gestion globale'!F:F,'Gestion globale'!E:E,"Lot 14",'Gestion globale'!C:C,"Vente")</f>
        <v/>
      </c>
      <c r="D15">
        <f>SUMIFS('Gestion globale'!F:F,'Gestion globale'!E:E,"Lot 14",'Gestion globale'!C:C,"Dépense")</f>
        <v/>
      </c>
      <c r="E15">
        <f>C15-B15-D15</f>
        <v/>
      </c>
    </row>
    <row r="16">
      <c r="A16" t="inlineStr">
        <is>
          <t>Lot 15</t>
        </is>
      </c>
      <c r="B16">
        <f>SUMIFS('Gestion globale'!F:F,'Gestion globale'!E:E,"Lot 15",'Gestion globale'!C:C,"Achat")</f>
        <v/>
      </c>
      <c r="C16">
        <f>SUMIFS('Gestion globale'!F:F,'Gestion globale'!E:E,"Lot 15",'Gestion globale'!C:C,"Vente")</f>
        <v/>
      </c>
      <c r="D16">
        <f>SUMIFS('Gestion globale'!F:F,'Gestion globale'!E:E,"Lot 15",'Gestion globale'!C:C,"Dépense")</f>
        <v/>
      </c>
      <c r="E16">
        <f>C16-B16-D16</f>
        <v/>
      </c>
    </row>
    <row r="17">
      <c r="A17" t="inlineStr">
        <is>
          <t>Lot 16</t>
        </is>
      </c>
      <c r="B17">
        <f>SUMIFS('Gestion globale'!F:F,'Gestion globale'!E:E,"Lot 16",'Gestion globale'!C:C,"Achat")</f>
        <v/>
      </c>
      <c r="C17">
        <f>SUMIFS('Gestion globale'!F:F,'Gestion globale'!E:E,"Lot 16",'Gestion globale'!C:C,"Vente")</f>
        <v/>
      </c>
      <c r="D17">
        <f>SUMIFS('Gestion globale'!F:F,'Gestion globale'!E:E,"Lot 16",'Gestion globale'!C:C,"Dépense")</f>
        <v/>
      </c>
      <c r="E17">
        <f>C17-B17-D17</f>
        <v/>
      </c>
    </row>
    <row r="18">
      <c r="A18" t="inlineStr">
        <is>
          <t>Lot 17</t>
        </is>
      </c>
      <c r="B18">
        <f>SUMIFS('Gestion globale'!F:F,'Gestion globale'!E:E,"Lot 17",'Gestion globale'!C:C,"Achat")</f>
        <v/>
      </c>
      <c r="C18">
        <f>SUMIFS('Gestion globale'!F:F,'Gestion globale'!E:E,"Lot 17",'Gestion globale'!C:C,"Vente")</f>
        <v/>
      </c>
      <c r="D18">
        <f>SUMIFS('Gestion globale'!F:F,'Gestion globale'!E:E,"Lot 17",'Gestion globale'!C:C,"Dépense")</f>
        <v/>
      </c>
      <c r="E18">
        <f>C18-B18-D18</f>
        <v/>
      </c>
    </row>
    <row r="19">
      <c r="A19" t="inlineStr">
        <is>
          <t>Lot 18</t>
        </is>
      </c>
      <c r="B19">
        <f>SUMIFS('Gestion globale'!F:F,'Gestion globale'!E:E,"Lot 18",'Gestion globale'!C:C,"Achat")</f>
        <v/>
      </c>
      <c r="C19">
        <f>SUMIFS('Gestion globale'!F:F,'Gestion globale'!E:E,"Lot 18",'Gestion globale'!C:C,"Vente")</f>
        <v/>
      </c>
      <c r="D19">
        <f>SUMIFS('Gestion globale'!F:F,'Gestion globale'!E:E,"Lot 18",'Gestion globale'!C:C,"Dépense")</f>
        <v/>
      </c>
      <c r="E19">
        <f>C19-B19-D19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1" sqref="C1"/>
    </sheetView>
  </sheetViews>
  <sheetFormatPr baseColWidth="10" defaultColWidth="8.83203125" defaultRowHeight="15"/>
  <sheetData>
    <row r="1">
      <c r="A1" s="1" t="inlineStr">
        <is>
          <t>Lot</t>
        </is>
      </c>
      <c r="B1" s="1" t="inlineStr">
        <is>
          <t>Statut (OUVERT / FERMÉ)</t>
        </is>
      </c>
      <c r="C1" s="1" t="inlineStr">
        <is>
          <t>Remarque</t>
        </is>
      </c>
    </row>
    <row r="2">
      <c r="A2" t="inlineStr">
        <is>
          <t>LOT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E3" sqref="E3"/>
    </sheetView>
  </sheetViews>
  <sheetFormatPr baseColWidth="10" defaultColWidth="14.1640625" defaultRowHeight="15"/>
  <sheetData>
    <row r="1">
      <c r="A1" s="1" t="inlineStr">
        <is>
          <t>Lot</t>
        </is>
      </c>
      <c r="B1" s="1" t="inlineStr">
        <is>
          <t>Personne</t>
        </is>
      </c>
      <c r="C1" s="1" t="inlineStr">
        <is>
          <t>Total Avancé (Achats + Dépenses)</t>
        </is>
      </c>
      <c r="D1" s="1" t="inlineStr">
        <is>
          <t>Total Encaissé (Ventes)</t>
        </is>
      </c>
      <c r="E1" s="1" t="inlineStr">
        <is>
          <t>Solde (À récupérer / À payer)</t>
        </is>
      </c>
    </row>
    <row r="2">
      <c r="A2" t="inlineStr">
        <is>
          <t>2026 – LOT FRIGO</t>
        </is>
      </c>
      <c r="B2" t="inlineStr">
        <is>
          <t>Abdelghafour</t>
        </is>
      </c>
      <c r="C2">
        <f>SUMIFS('Gestion globale'!F:F,'Gestion globale'!E:E,"LOT FRIGO",'Gestion globale'!B:B,"Abdelghafour",'Gestion globale'!C:C,"Achat")+SUMIFS('Gestion globale'!F:F,'Gestion globale'!E:E,"2026 – Remorque frigo – Thermo King",'Gestion globale'!B:B,"Abdelghafour",'Gestion globale'!C:C,"Dépense")</f>
        <v/>
      </c>
      <c r="D2">
        <f>SUMIFS('Gestion globale'!F:F,'Gestion globale'!E:E,"lot frigo",'Gestion globale'!B:B,"Abdelghafour",'Gestion globale'!C:C,"Vente")</f>
        <v/>
      </c>
      <c r="E2">
        <f>D2-C2</f>
        <v/>
      </c>
    </row>
    <row r="3">
      <c r="A3" t="inlineStr">
        <is>
          <t>2026 – LOT FRIGO</t>
        </is>
      </c>
      <c r="B3" t="inlineStr">
        <is>
          <t>Adam</t>
        </is>
      </c>
      <c r="C3">
        <f>SUMIFS('Gestion globale'!F:F,'Gestion globale'!E:E,"LOT FRIGO",'Gestion globale'!B:B,"Adam",'Gestion globale'!C:C,"Achat")+SUMIFS('Gestion globale'!F:F,'Gestion globale'!E:E,"2026 – Remorque frigo – Thermo King",'Gestion globale'!B:B,"Abdelghafour",'Gestion globale'!C:C,"Dépense")</f>
        <v/>
      </c>
      <c r="D3">
        <f>SUMIFS('Gestion globale'!F:F,'Gestion globale'!E:E,"LOT FRIGO",'Gestion globale'!B:B,"Adam",'Gestion globale'!C:C,"Vente")</f>
        <v/>
      </c>
      <c r="E3">
        <f>D3-C3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2026-02-03T17:53:54Z</dcterms:created>
  <dcterms:modified xsi:type="dcterms:W3CDTF">2026-02-23T13:12:15Z</dcterms:modified>
  <cp:lastModifiedBy>Microsoft Office User</cp:lastModifiedBy>
</cp:coreProperties>
</file>